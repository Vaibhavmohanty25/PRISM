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f9874b2a4f4c70/Documents/"/>
    </mc:Choice>
  </mc:AlternateContent>
  <xr:revisionPtr revIDLastSave="1" documentId="8_{525B69CF-F4A2-4758-800A-F4FF12213935}" xr6:coauthVersionLast="47" xr6:coauthVersionMax="47" xr10:uidLastSave="{34738B32-E553-4051-84C6-3476790D8015}"/>
  <bookViews>
    <workbookView xWindow="-120" yWindow="-120" windowWidth="20730" windowHeight="11040" xr2:uid="{36682AC2-2ACB-47CD-812D-DA5CADEF2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J12" i="1"/>
  <c r="J10" i="1"/>
  <c r="J9" i="1"/>
  <c r="J8" i="1"/>
  <c r="J7" i="1"/>
  <c r="J6" i="1"/>
  <c r="J5" i="1"/>
  <c r="J4" i="1"/>
  <c r="J3" i="1"/>
  <c r="J2" i="1"/>
  <c r="I9" i="1"/>
  <c r="I8" i="1"/>
  <c r="I7" i="1"/>
  <c r="I6" i="1"/>
  <c r="E6" i="1"/>
  <c r="I5" i="1"/>
  <c r="I4" i="1"/>
  <c r="I3" i="1"/>
  <c r="I2" i="1"/>
  <c r="H9" i="1"/>
  <c r="F9" i="1"/>
  <c r="E9" i="1"/>
  <c r="D9" i="1"/>
  <c r="H8" i="1"/>
  <c r="G8" i="1"/>
  <c r="F8" i="1"/>
  <c r="E8" i="1"/>
  <c r="D8" i="1"/>
  <c r="H7" i="1"/>
  <c r="F7" i="1"/>
  <c r="E7" i="1"/>
  <c r="D7" i="1"/>
  <c r="H6" i="1"/>
  <c r="F6" i="1"/>
  <c r="D6" i="1"/>
  <c r="G5" i="1"/>
  <c r="F5" i="1"/>
  <c r="E5" i="1"/>
  <c r="D5" i="1"/>
  <c r="H4" i="1"/>
  <c r="F4" i="1"/>
  <c r="E4" i="1"/>
  <c r="D4" i="1"/>
  <c r="G3" i="1"/>
  <c r="E3" i="1"/>
  <c r="F2" i="1"/>
  <c r="E2" i="1"/>
  <c r="D2" i="1"/>
  <c r="B10" i="1"/>
</calcChain>
</file>

<file path=xl/sharedStrings.xml><?xml version="1.0" encoding="utf-8"?>
<sst xmlns="http://schemas.openxmlformats.org/spreadsheetml/2006/main" count="25" uniqueCount="25">
  <si>
    <t>Orientation to Computing</t>
  </si>
  <si>
    <t>Software Engineering</t>
  </si>
  <si>
    <t>DBMS</t>
  </si>
  <si>
    <t>Engineering Graphics</t>
  </si>
  <si>
    <t>Descrete Mathematics</t>
  </si>
  <si>
    <t>Upper Intermediate Communication</t>
  </si>
  <si>
    <t>Engineering Physics</t>
  </si>
  <si>
    <t>Computer Programming</t>
  </si>
  <si>
    <t>CA1</t>
  </si>
  <si>
    <t>CA2</t>
  </si>
  <si>
    <t>CA3</t>
  </si>
  <si>
    <t>CA4</t>
  </si>
  <si>
    <t>ET</t>
  </si>
  <si>
    <t>MT</t>
  </si>
  <si>
    <t>Total</t>
  </si>
  <si>
    <t>GPA=</t>
  </si>
  <si>
    <t>Sem1</t>
  </si>
  <si>
    <t>Sem2</t>
  </si>
  <si>
    <t>Sem3</t>
  </si>
  <si>
    <t>Sem4</t>
  </si>
  <si>
    <t>Sem5</t>
  </si>
  <si>
    <t>Sem6</t>
  </si>
  <si>
    <t>Sem7</t>
  </si>
  <si>
    <t>Sem8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</si>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</sst>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BF17-DC11-484E-987D-3463055BA846}">
  <dimension ref="A1:J22"/>
  <sheetViews>
    <sheetView tabSelected="1" topLeftCell="A5" workbookViewId="0">
      <selection activeCell="D18" sqref="D18"/>
    </sheetView>
  </sheetViews>
  <sheetFormatPr defaultRowHeight="15" x14ac:dyDescent="0.25"/>
  <cols>
    <col min="1" max="1" width="34.42578125" customWidth="1"/>
  </cols>
  <sheetData>
    <row r="1" spans="1:10" x14ac:dyDescent="0.25">
      <c r="C1" t="s">
        <v>12</v>
      </c>
      <c r="D1" t="s">
        <v>8</v>
      </c>
      <c r="E1" t="s">
        <v>9</v>
      </c>
      <c r="F1" t="s">
        <v>10</v>
      </c>
      <c r="G1" t="s">
        <v>11</v>
      </c>
      <c r="H1" t="s">
        <v>13</v>
      </c>
      <c r="I1" t="s">
        <v>14</v>
      </c>
    </row>
    <row r="2" spans="1:10" x14ac:dyDescent="0.25">
      <c r="A2" s="2" t="s">
        <v>7</v>
      </c>
      <c r="B2">
        <v>4</v>
      </c>
      <c r="C2" s="1">
        <v>0.6</v>
      </c>
      <c r="D2" s="1">
        <f>11/30</f>
        <v>0.36666666666666664</v>
      </c>
      <c r="E2">
        <f>14/30</f>
        <v>0.46666666666666667</v>
      </c>
      <c r="F2">
        <f>7/30</f>
        <v>0.23333333333333334</v>
      </c>
      <c r="I2">
        <f>48+3.7+4.6</f>
        <v>56.300000000000004</v>
      </c>
      <c r="J2">
        <f>I2*B2</f>
        <v>225.20000000000002</v>
      </c>
    </row>
    <row r="3" spans="1:10" x14ac:dyDescent="0.25">
      <c r="A3" s="2" t="s">
        <v>0</v>
      </c>
      <c r="B3">
        <v>2</v>
      </c>
      <c r="C3" s="1">
        <v>0.75</v>
      </c>
      <c r="D3" s="1">
        <v>0.9</v>
      </c>
      <c r="E3">
        <f>30/100</f>
        <v>0.3</v>
      </c>
      <c r="G3">
        <f>88/100</f>
        <v>0.88</v>
      </c>
      <c r="I3">
        <f>80*0.75+9+8.8</f>
        <v>77.8</v>
      </c>
      <c r="J3">
        <f t="shared" ref="J3:J9" si="0">I3*B3</f>
        <v>155.6</v>
      </c>
    </row>
    <row r="4" spans="1:10" x14ac:dyDescent="0.25">
      <c r="A4" s="2" t="s">
        <v>1</v>
      </c>
      <c r="B4">
        <v>3</v>
      </c>
      <c r="C4" s="1">
        <v>0.7</v>
      </c>
      <c r="D4" s="1">
        <f>14/30</f>
        <v>0.46666666666666667</v>
      </c>
      <c r="E4">
        <f>15/30</f>
        <v>0.5</v>
      </c>
      <c r="F4">
        <f>13/30</f>
        <v>0.43333333333333335</v>
      </c>
      <c r="H4">
        <f>10/30</f>
        <v>0.33333333333333331</v>
      </c>
      <c r="I4">
        <f>42+4.7+5+6.6</f>
        <v>58.300000000000004</v>
      </c>
      <c r="J4">
        <f t="shared" si="0"/>
        <v>174.9</v>
      </c>
    </row>
    <row r="5" spans="1:10" x14ac:dyDescent="0.25">
      <c r="A5" s="2" t="s">
        <v>2</v>
      </c>
      <c r="B5">
        <v>4</v>
      </c>
      <c r="C5" s="1">
        <v>0.7</v>
      </c>
      <c r="D5" s="1">
        <f>17/30</f>
        <v>0.56666666666666665</v>
      </c>
      <c r="E5">
        <f>11.5/30</f>
        <v>0.38333333333333336</v>
      </c>
      <c r="F5">
        <f>17/30</f>
        <v>0.56666666666666665</v>
      </c>
      <c r="G5" s="2">
        <f>12/20</f>
        <v>0.6</v>
      </c>
      <c r="I5">
        <f>56+5.7+6</f>
        <v>67.7</v>
      </c>
      <c r="J5">
        <f t="shared" si="0"/>
        <v>270.8</v>
      </c>
    </row>
    <row r="6" spans="1:10" x14ac:dyDescent="0.25">
      <c r="A6" t="s">
        <v>3</v>
      </c>
      <c r="B6">
        <v>4</v>
      </c>
      <c r="C6" s="1">
        <v>0.73</v>
      </c>
      <c r="D6" s="1">
        <f>4/30</f>
        <v>0.13333333333333333</v>
      </c>
      <c r="E6" s="2">
        <f>23/30</f>
        <v>0.76666666666666672</v>
      </c>
      <c r="F6">
        <f>20/30</f>
        <v>0.66666666666666663</v>
      </c>
      <c r="H6">
        <f>18/40</f>
        <v>0.45</v>
      </c>
      <c r="I6">
        <f>0.73*40+7.6+6.6+0.45*40</f>
        <v>61.4</v>
      </c>
      <c r="J6">
        <f t="shared" si="0"/>
        <v>245.6</v>
      </c>
    </row>
    <row r="7" spans="1:10" x14ac:dyDescent="0.25">
      <c r="A7" s="3" t="s">
        <v>4</v>
      </c>
      <c r="B7">
        <v>2</v>
      </c>
      <c r="C7" s="1">
        <v>0.65</v>
      </c>
      <c r="D7" s="1">
        <f>19/30</f>
        <v>0.6333333333333333</v>
      </c>
      <c r="E7">
        <f>0/30</f>
        <v>0</v>
      </c>
      <c r="F7">
        <f>10/30</f>
        <v>0.33333333333333331</v>
      </c>
      <c r="H7">
        <f>12/30</f>
        <v>0.4</v>
      </c>
      <c r="I7">
        <f>50*0.65+6.3+3.33+12</f>
        <v>54.129999999999995</v>
      </c>
      <c r="J7">
        <f t="shared" si="0"/>
        <v>108.25999999999999</v>
      </c>
    </row>
    <row r="8" spans="1:10" x14ac:dyDescent="0.25">
      <c r="A8" t="s">
        <v>5</v>
      </c>
      <c r="B8">
        <v>3</v>
      </c>
      <c r="C8" s="1">
        <v>0.85</v>
      </c>
      <c r="D8" s="1">
        <f>25/30</f>
        <v>0.83333333333333337</v>
      </c>
      <c r="E8">
        <f>22/30</f>
        <v>0.73333333333333328</v>
      </c>
      <c r="F8">
        <f>24/30</f>
        <v>0.8</v>
      </c>
      <c r="G8">
        <f>19/30</f>
        <v>0.6333333333333333</v>
      </c>
      <c r="H8">
        <f>17/30</f>
        <v>0.56666666666666665</v>
      </c>
      <c r="I8">
        <f>50*0.85+8+8.3+30*0.5667</f>
        <v>75.800999999999988</v>
      </c>
      <c r="J8">
        <f t="shared" si="0"/>
        <v>227.40299999999996</v>
      </c>
    </row>
    <row r="9" spans="1:10" x14ac:dyDescent="0.25">
      <c r="A9" t="s">
        <v>6</v>
      </c>
      <c r="B9">
        <v>4</v>
      </c>
      <c r="C9" s="1">
        <v>0.73</v>
      </c>
      <c r="D9" s="1">
        <f>20/30</f>
        <v>0.66666666666666663</v>
      </c>
      <c r="E9">
        <f>17/30</f>
        <v>0.56666666666666665</v>
      </c>
      <c r="F9">
        <f>4/30</f>
        <v>0.13333333333333333</v>
      </c>
      <c r="H9">
        <f>17/30</f>
        <v>0.56666666666666665</v>
      </c>
      <c r="I9">
        <f>50*0.73+6.7+5.6+30*0.56667</f>
        <v>65.8001</v>
      </c>
      <c r="J9">
        <f t="shared" si="0"/>
        <v>263.2004</v>
      </c>
    </row>
    <row r="10" spans="1:10" x14ac:dyDescent="0.25">
      <c r="B10">
        <f>SUM(B2:B9)</f>
        <v>26</v>
      </c>
      <c r="J10">
        <f>SUM(J2:J9)</f>
        <v>1670.9633999999999</v>
      </c>
    </row>
    <row r="12" spans="1:10" x14ac:dyDescent="0.25">
      <c r="I12" t="s">
        <v>15</v>
      </c>
      <c r="J12">
        <f>J10/B10</f>
        <v>64.267823076923065</v>
      </c>
    </row>
    <row r="14" spans="1:10" x14ac:dyDescent="0.25">
      <c r="A14" t="s">
        <v>16</v>
      </c>
      <c r="B14">
        <v>6</v>
      </c>
    </row>
    <row r="15" spans="1:10" x14ac:dyDescent="0.25">
      <c r="A15" t="s">
        <v>17</v>
      </c>
      <c r="B15">
        <v>6.4</v>
      </c>
    </row>
    <row r="16" spans="1:10" x14ac:dyDescent="0.25">
      <c r="A16" t="s">
        <v>18</v>
      </c>
      <c r="B16">
        <v>9</v>
      </c>
    </row>
    <row r="17" spans="1:2" x14ac:dyDescent="0.25">
      <c r="A17" t="s">
        <v>19</v>
      </c>
      <c r="B17">
        <v>8</v>
      </c>
    </row>
    <row r="18" spans="1:2" x14ac:dyDescent="0.25">
      <c r="A18" t="s">
        <v>20</v>
      </c>
      <c r="B18">
        <v>8</v>
      </c>
    </row>
    <row r="19" spans="1:2" x14ac:dyDescent="0.25">
      <c r="A19" t="s">
        <v>21</v>
      </c>
      <c r="B19">
        <v>8</v>
      </c>
    </row>
    <row r="20" spans="1:2" x14ac:dyDescent="0.25">
      <c r="A20" t="s">
        <v>22</v>
      </c>
      <c r="B20">
        <v>8</v>
      </c>
    </row>
    <row r="21" spans="1:2" x14ac:dyDescent="0.25">
      <c r="A21" t="s">
        <v>23</v>
      </c>
      <c r="B21">
        <v>8</v>
      </c>
    </row>
    <row r="22" spans="1:2" x14ac:dyDescent="0.25">
      <c r="A22" t="s">
        <v>24</v>
      </c>
      <c r="B22">
        <f>AVERAGE(B14:B21)</f>
        <v>7.6749999999999998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Mohanty</dc:creator>
  <cp:lastModifiedBy>Vaibhav Mohanty</cp:lastModifiedBy>
  <dcterms:created xsi:type="dcterms:W3CDTF">2024-06-01T15:42:43Z</dcterms:created>
  <dcterms:modified xsi:type="dcterms:W3CDTF">2024-06-01T16:59:32Z</dcterms:modified>
</cp:coreProperties>
</file>